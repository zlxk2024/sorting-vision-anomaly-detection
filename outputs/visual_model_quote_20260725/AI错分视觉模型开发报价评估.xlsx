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cf08df04d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总览" sheetId="1" r:id="R6fbbb00354e7410e"/>
    <x:sheet xmlns:r="http://schemas.openxmlformats.org/officeDocument/2006/relationships" name="详细报价" sheetId="2" r:id="R2e8cee6dd4ed4a97"/>
    <x:sheet xmlns:r="http://schemas.openxmlformats.org/officeDocument/2006/relationships" name="范围与验收" sheetId="3" r:id="Rf08436046fdc4d2e"/>
    <x:sheet xmlns:r="http://schemas.openxmlformats.org/officeDocument/2006/relationships" name="依据与说明" sheetId="4" r:id="Rd3153bc2bc96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;[Red](¥#,##0);-"/>
    <x:numFmt numFmtId="201" formatCode="0.0%"/>
    <x:numFmt numFmtId="202" formatCode="@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0B1F3A"/>
      <x:name val="Carlito"/>
    </x:font>
    <x:font>
      <x:b/>
      <x:sz val="11"/>
      <x:color rgb="FFFFFFFF"/>
      <x:name val="Carlito"/>
    </x:font>
    <x:font>
      <x:sz val="10"/>
      <x:color rgb="FF202B3C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b/>
      <x:sz val="18"/>
      <x:color rgb="FF0B1F3A"/>
      <x:name val="Carlito"/>
    </x:font>
    <x:font>
      <x:b/>
      <x:sz val="12"/>
      <x:color rgb="FFFFFFFF"/>
      <x:name val="Carlito"/>
    </x:font>
    <x:font>
      <x:b/>
      <x:sz val="11"/>
      <x:color rgb="FF0B1F3A"/>
      <x:name val="Carlito"/>
    </x:font>
    <x:font>
      <x:sz val="10"/>
      <x:color rgb="FF5944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F2FF"/>
      </x:patternFill>
    </x:fill>
    <x:fill>
      <x:patternFill patternType="solid">
        <x:fgColor rgb="FF1665D8"/>
      </x:patternFill>
    </x:fill>
    <x:fill>
      <x:patternFill patternType="solid">
        <x:fgColor rgb="FFF4F7FB"/>
      </x:patternFill>
    </x:fill>
    <x:fill>
      <x:patternFill patternType="solid">
        <x:fgColor rgb="FF6B5DD3"/>
      </x:patternFill>
    </x:fill>
    <x:fill>
      <x:patternFill patternType="solid">
        <x:fgColor rgb="FF0E8A5F"/>
      </x:patternFill>
    </x:fill>
    <x:fill>
      <x:patternFill patternType="solid">
        <x:fgColor rgb="FFB66A00"/>
      </x:patternFill>
    </x:fill>
    <x:fill>
      <x:patternFill patternType="solid">
        <x:fgColor rgb="FFFFFFFF"/>
      </x:patternFill>
    </x:fill>
    <x:fill>
      <x:patternFill patternType="solid">
        <x:fgColor rgb="FFDFF4E5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28">
    <x:border/>
    <x:border>
      <x:left style="thin">
        <x:color rgb="FFD7DFE8"/>
      </x:left>
      <x:top style="thin">
        <x:color rgb="FFD7DFE8"/>
      </x:top>
      <x:bottom style="thin">
        <x:color rgb="FFD7DFE8"/>
      </x:bottom>
    </x:border>
    <x:border>
      <x:top style="thin">
        <x:color rgb="FFD7DFE8"/>
      </x:top>
      <x:bottom style="thin">
        <x:color rgb="FFD7DFE8"/>
      </x:bottom>
    </x:border>
    <x:border>
      <x:right style="thin">
        <x:color rgb="FFD7DFE8"/>
      </x:right>
      <x:top style="thin">
        <x:color rgb="FFD7DFE8"/>
      </x:top>
      <x:bottom style="thin">
        <x:color rgb="FFD7DFE8"/>
      </x:bottom>
    </x:border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  <x:border>
      <x:left style="thin">
        <x:color rgb="FFD7DFE8"/>
      </x:left>
      <x:top style="thin">
        <x:color rgb="FFD7DFE8"/>
      </x:top>
    </x:border>
    <x:border>
      <x:right style="thin">
        <x:color rgb="FFD7DFE8"/>
      </x:right>
      <x:top style="thin">
        <x:color rgb="FFD7DFE8"/>
      </x:top>
    </x:border>
    <x:border>
      <x:left style="thin">
        <x:color rgb="FFD7DFE8"/>
      </x:left>
      <x:bottom style="thin">
        <x:color rgb="FFD7DFE8"/>
      </x:bottom>
    </x:border>
    <x:border>
      <x:right style="thin">
        <x:color rgb="FFD7DFE8"/>
      </x:right>
      <x:bottom style="thin">
        <x:color rgb="FFD7DFE8"/>
      </x:bottom>
    </x:border>
    <x:border>
      <x:bottom style="thin">
        <x:color rgb="FFD7DFE8"/>
      </x:bottom>
    </x:border>
    <x:border>
      <x:left style="thin">
        <x:color rgb="FFE0C46C"/>
      </x:left>
      <x:top style="thin">
        <x:color rgb="FFE0C46C"/>
      </x:top>
    </x:border>
    <x:border>
      <x:top style="thin">
        <x:color rgb="FFE0C46C"/>
      </x:top>
    </x:border>
    <x:border>
      <x:right style="thin">
        <x:color rgb="FFE0C46C"/>
      </x:right>
      <x:top style="thin">
        <x:color rgb="FFE0C46C"/>
      </x:top>
    </x:border>
    <x:border>
      <x:left style="thin">
        <x:color rgb="FFE0C46C"/>
      </x:left>
    </x:border>
    <x:border>
      <x:right style="thin">
        <x:color rgb="FFE0C46C"/>
      </x:right>
    </x:border>
    <x:border>
      <x:left style="thin">
        <x:color rgb="FFE0C46C"/>
      </x:left>
      <x:bottom style="thin">
        <x:color rgb="FFE0C46C"/>
      </x:bottom>
    </x:border>
    <x:border>
      <x:bottom style="thin">
        <x:color rgb="FFE0C46C"/>
      </x:bottom>
    </x:border>
    <x:border>
      <x:right style="thin">
        <x:color rgb="FFE0C46C"/>
      </x:right>
      <x:bottom style="thin">
        <x:color rgb="FFE0C46C"/>
      </x:bottom>
    </x:border>
    <x:border>
      <x:right style="thin">
        <x:color rgb="FFEEF1F5"/>
      </x:right>
      <x:bottom style="thin">
        <x:color rgb="FFD7DFE8"/>
      </x:bottom>
    </x:border>
    <x:border>
      <x:left style="thin">
        <x:color rgb="FFEEF1F5"/>
      </x:left>
      <x:right style="thin">
        <x:color rgb="FFEEF1F5"/>
      </x:right>
      <x:bottom style="thin">
        <x:color rgb="FFD7DFE8"/>
      </x:bottom>
    </x:border>
    <x:border>
      <x:left style="thin">
        <x:color rgb="FFEEF1F5"/>
      </x:left>
      <x:bottom style="thin">
        <x:color rgb="FFD7DFE8"/>
      </x:bottom>
    </x:border>
    <x:border>
      <x:right style="thin">
        <x:color rgb="FFEEF1F5"/>
      </x:right>
      <x:top style="thin">
        <x:color rgb="FFD7DFE8"/>
      </x:top>
      <x:bottom style="thin">
        <x:color rgb="FFD7DFE8"/>
      </x:bottom>
    </x:border>
    <x:border>
      <x:left style="thin">
        <x:color rgb="FFEEF1F5"/>
      </x:left>
      <x:right style="thin">
        <x:color rgb="FFEEF1F5"/>
      </x:right>
      <x:top style="thin">
        <x:color rgb="FFD7DFE8"/>
      </x:top>
      <x:bottom style="thin">
        <x:color rgb="FFD7DFE8"/>
      </x:bottom>
    </x:border>
    <x:border>
      <x:left style="thin">
        <x:color rgb="FFEEF1F5"/>
      </x:left>
      <x:top style="thin">
        <x:color rgb="FFD7DFE8"/>
      </x:top>
      <x:bottom style="thin">
        <x:color rgb="FFD7DFE8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3" fillId="2" borderId="7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200" fontId="7" fillId="5" borderId="9" xfId="0" applyNumberFormat="1" applyFont="1" applyFill="1" applyBorder="1"/>
    <x:xf numFmtId="200" fontId="7" fillId="5" borderId="10" xfId="0" applyNumberFormat="1" applyFont="1" applyFill="1" applyBorder="1"/>
    <x:xf numFmtId="200" fontId="7" fillId="5" borderId="11" xfId="0" applyNumberFormat="1" applyFont="1" applyFill="1" applyBorder="1"/>
    <x:xf numFmtId="200" fontId="7" fillId="5" borderId="12" xfId="0" applyNumberFormat="1" applyFont="1" applyFill="1" applyBorder="1"/>
    <x:xf numFmtId="200" fontId="7" fillId="5" borderId="9" xfId="0" applyNumberFormat="1" applyFont="1" applyFill="1" applyBorder="1" applyAlignment="1">
      <x:alignment horizontal="center"/>
    </x:xf>
    <x:xf numFmtId="200" fontId="7" fillId="5" borderId="10" xfId="0" applyNumberFormat="1" applyFont="1" applyFill="1" applyBorder="1" applyAlignment="1">
      <x:alignment horizontal="center"/>
    </x:xf>
    <x:xf numFmtId="200" fontId="7" fillId="5" borderId="11" xfId="0" applyNumberFormat="1" applyFont="1" applyFill="1" applyBorder="1" applyAlignment="1">
      <x:alignment horizontal="center"/>
    </x:xf>
    <x:xf numFmtId="200" fontId="7" fillId="5" borderId="12" xfId="0" applyNumberFormat="1" applyFont="1" applyFill="1" applyBorder="1" applyAlignment="1">
      <x:alignment horizontal="center"/>
    </x:xf>
    <x:xf numFmtId="200" fontId="7" fillId="5" borderId="9" xfId="0" applyNumberFormat="1" applyFont="1" applyFill="1" applyBorder="1" applyAlignment="1">
      <x:alignment horizontal="center" vertical="center"/>
    </x:xf>
    <x:xf numFmtId="200" fontId="7" fillId="5" borderId="10" xfId="0" applyNumberFormat="1" applyFont="1" applyFill="1" applyBorder="1" applyAlignment="1">
      <x:alignment horizontal="center" vertical="center"/>
    </x:xf>
    <x:xf numFmtId="200" fontId="7" fillId="5" borderId="11" xfId="0" applyNumberFormat="1" applyFont="1" applyFill="1" applyBorder="1" applyAlignment="1">
      <x:alignment horizontal="center" vertical="center"/>
    </x:xf>
    <x:xf numFmtId="200" fontId="7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202" fontId="7" fillId="5" borderId="9" xfId="0" applyNumberFormat="1" applyFont="1" applyFill="1" applyBorder="1"/>
    <x:xf numFmtId="202" fontId="7" fillId="5" borderId="10" xfId="0" applyNumberFormat="1" applyFont="1" applyFill="1" applyBorder="1"/>
    <x:xf numFmtId="202" fontId="7" fillId="5" borderId="11" xfId="0" applyNumberFormat="1" applyFont="1" applyFill="1" applyBorder="1"/>
    <x:xf numFmtId="202" fontId="7" fillId="5" borderId="12" xfId="0" applyNumberFormat="1" applyFont="1" applyFill="1" applyBorder="1"/>
    <x:xf numFmtId="202" fontId="7" fillId="5" borderId="9" xfId="0" applyNumberFormat="1" applyFont="1" applyFill="1" applyBorder="1" applyAlignment="1">
      <x:alignment horizontal="center"/>
    </x:xf>
    <x:xf numFmtId="202" fontId="7" fillId="5" borderId="10" xfId="0" applyNumberFormat="1" applyFont="1" applyFill="1" applyBorder="1" applyAlignment="1">
      <x:alignment horizontal="center"/>
    </x:xf>
    <x:xf numFmtId="202" fontId="7" fillId="5" borderId="11" xfId="0" applyNumberFormat="1" applyFont="1" applyFill="1" applyBorder="1" applyAlignment="1">
      <x:alignment horizontal="center"/>
    </x:xf>
    <x:xf numFmtId="202" fontId="7" fillId="5" borderId="12" xfId="0" applyNumberFormat="1" applyFont="1" applyFill="1" applyBorder="1" applyAlignment="1">
      <x:alignment horizontal="center"/>
    </x:xf>
    <x:xf numFmtId="202" fontId="7" fillId="5" borderId="9" xfId="0" applyNumberFormat="1" applyFont="1" applyFill="1" applyBorder="1" applyAlignment="1">
      <x:alignment horizontal="center" vertical="center"/>
    </x:xf>
    <x:xf numFmtId="202" fontId="7" fillId="5" borderId="10" xfId="0" applyNumberFormat="1" applyFont="1" applyFill="1" applyBorder="1" applyAlignment="1">
      <x:alignment horizontal="center" vertical="center"/>
    </x:xf>
    <x:xf numFmtId="202" fontId="7" fillId="5" borderId="11" xfId="0" applyNumberFormat="1" applyFont="1" applyFill="1" applyBorder="1" applyAlignment="1">
      <x:alignment horizontal="center" vertical="center"/>
    </x:xf>
    <x:xf numFmtId="202" fontId="7" fillId="5" borderId="12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3" xfId="0" applyNumberFormat="1" applyFont="1" applyFill="1" applyBorder="1"/>
    <x:xf numFmtId="0" fontId="0" fillId="9" borderId="2" xfId="0" applyNumberFormat="1" applyFont="1" applyFill="1" applyBorder="1"/>
    <x:xf numFmtId="200" fontId="0" fillId="9" borderId="13" xfId="0" applyNumberFormat="1" applyFont="1" applyFill="1" applyBorder="1"/>
    <x:xf numFmtId="200" fontId="0" fillId="9" borderId="2" xfId="0" applyNumberFormat="1" applyFont="1" applyFill="1" applyBorder="1"/>
    <x:xf numFmtId="200" fontId="3" fillId="2" borderId="0" xfId="0" applyNumberFormat="1" applyFont="1" applyFill="1" applyBorder="1"/>
    <x:xf numFmtId="201" fontId="0" fillId="9" borderId="13" xfId="0" applyNumberFormat="1" applyFont="1" applyFill="1" applyBorder="1"/>
    <x:xf numFmtId="201" fontId="0" fillId="9" borderId="2" xfId="0" applyNumberFormat="1" applyFont="1" applyFill="1" applyBorder="1"/>
    <x:xf numFmtId="201" fontId="3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200" fontId="0" fillId="10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vertical="center" wrapText="1"/>
    </x:xf>
    <x:xf numFmtId="200" fontId="9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4" xfId="0" applyNumberFormat="1" applyFont="1" applyFill="1" applyBorder="1"/>
    <x:xf numFmtId="0" fontId="10" fillId="11" borderId="15" xfId="0" applyNumberFormat="1" applyFont="1" applyFill="1" applyBorder="1"/>
    <x:xf numFmtId="0" fontId="10" fillId="11" borderId="16" xfId="0" applyNumberFormat="1" applyFont="1" applyFill="1" applyBorder="1"/>
    <x:xf numFmtId="0" fontId="10" fillId="11" borderId="17" xfId="0" applyNumberFormat="1" applyFont="1" applyFill="1" applyBorder="1"/>
    <x:xf numFmtId="0" fontId="10" fillId="11" borderId="18" xfId="0" applyNumberFormat="1" applyFont="1" applyFill="1" applyBorder="1"/>
    <x:xf numFmtId="0" fontId="10" fillId="11" borderId="19" xfId="0" applyNumberFormat="1" applyFont="1" applyFill="1" applyBorder="1"/>
    <x:xf numFmtId="0" fontId="10" fillId="11" borderId="20" xfId="0" applyNumberFormat="1" applyFont="1" applyFill="1" applyBorder="1"/>
    <x:xf numFmtId="0" fontId="10" fillId="11" borderId="21" xfId="0" applyNumberFormat="1" applyFont="1" applyFill="1" applyBorder="1"/>
    <x:xf numFmtId="0" fontId="10" fillId="11" borderId="14" xfId="0" applyNumberFormat="1" applyFont="1" applyFill="1" applyBorder="1" applyAlignment="1">
      <x:alignment wrapText="1"/>
    </x:xf>
    <x:xf numFmtId="0" fontId="10" fillId="11" borderId="15" xfId="0" applyNumberFormat="1" applyFont="1" applyFill="1" applyBorder="1" applyAlignment="1">
      <x:alignment wrapText="1"/>
    </x:xf>
    <x:xf numFmtId="0" fontId="10" fillId="11" borderId="16" xfId="0" applyNumberFormat="1" applyFont="1" applyFill="1" applyBorder="1" applyAlignment="1">
      <x:alignment wrapText="1"/>
    </x:xf>
    <x:xf numFmtId="0" fontId="10" fillId="11" borderId="17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18" xfId="0" applyNumberFormat="1" applyFont="1" applyFill="1" applyBorder="1" applyAlignment="1">
      <x:alignment wrapText="1"/>
    </x:xf>
    <x:xf numFmtId="0" fontId="10" fillId="11" borderId="19" xfId="0" applyNumberFormat="1" applyFont="1" applyFill="1" applyBorder="1" applyAlignment="1">
      <x:alignment wrapText="1"/>
    </x:xf>
    <x:xf numFmtId="0" fontId="10" fillId="11" borderId="20" xfId="0" applyNumberFormat="1" applyFont="1" applyFill="1" applyBorder="1" applyAlignment="1">
      <x:alignment wrapText="1"/>
    </x:xf>
    <x:xf numFmtId="0" fontId="10" fillId="11" borderId="21" xfId="0" applyNumberFormat="1" applyFont="1" applyFill="1" applyBorder="1" applyAlignment="1">
      <x:alignment wrapText="1"/>
    </x:xf>
    <x:xf numFmtId="0" fontId="10" fillId="11" borderId="14" xfId="0" applyNumberFormat="1" applyFont="1" applyFill="1" applyBorder="1" applyAlignment="1">
      <x:alignment vertical="center" wrapText="1"/>
    </x:xf>
    <x:xf numFmtId="0" fontId="10" fillId="11" borderId="15" xfId="0" applyNumberFormat="1" applyFont="1" applyFill="1" applyBorder="1" applyAlignment="1">
      <x:alignment vertical="center" wrapText="1"/>
    </x:xf>
    <x:xf numFmtId="0" fontId="10" fillId="11" borderId="16" xfId="0" applyNumberFormat="1" applyFont="1" applyFill="1" applyBorder="1" applyAlignment="1">
      <x:alignment vertical="center" wrapText="1"/>
    </x:xf>
    <x:xf numFmtId="0" fontId="10" fillId="11" borderId="17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18" xfId="0" applyNumberFormat="1" applyFont="1" applyFill="1" applyBorder="1" applyAlignment="1">
      <x:alignment vertical="center" wrapText="1"/>
    </x:xf>
    <x:xf numFmtId="0" fontId="10" fillId="11" borderId="19" xfId="0" applyNumberFormat="1" applyFont="1" applyFill="1" applyBorder="1" applyAlignment="1">
      <x:alignment vertical="center" wrapText="1"/>
    </x:xf>
    <x:xf numFmtId="0" fontId="10" fillId="11" borderId="20" xfId="0" applyNumberFormat="1" applyFont="1" applyFill="1" applyBorder="1" applyAlignment="1">
      <x:alignment vertical="center" wrapText="1"/>
    </x:xf>
    <x:xf numFmtId="0" fontId="10" fillId="11" borderId="2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/>
    <x:xf numFmtId="0" fontId="0" fillId="5" borderId="2" xfId="0" applyNumberFormat="1" applyFont="1" applyFill="1" applyBorder="1"/>
    <x:xf numFmtId="0" fontId="0" fillId="5" borderId="13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/>
    <x:xf numFmtId="0" fontId="0" borderId="13" xfId="0" applyNumberFormat="1" applyFont="1" applyFill="0" applyBorder="1"/>
    <x:xf numFmtId="0" fontId="0" borderId="2" xfId="0" applyNumberFormat="1" applyFont="1" applyFill="0" applyBorder="1"/>
    <x:xf numFmtId="0" fontId="0" borderId="13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fillId="12" borderId="13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50b733aef4147" /><Relationship Type="http://schemas.openxmlformats.org/officeDocument/2006/relationships/theme" Target="/xl/theme/theme1.xml" Id="Rcdbb0ccc93bc478b" /><Relationship Type="http://schemas.openxmlformats.org/officeDocument/2006/relationships/sharedStrings" Target="/xl/sharedStrings.xml" Id="R24f358d206f74bae" /><Relationship Type="http://schemas.openxmlformats.org/officeDocument/2006/relationships/worksheet" Target="/xl/worksheets/sheet1.xml" Id="R6fbbb00354e7410e" /><Relationship Type="http://schemas.openxmlformats.org/officeDocument/2006/relationships/worksheet" Target="/xl/worksheets/sheet2.xml" Id="R2e8cee6dd4ed4a97" /><Relationship Type="http://schemas.openxmlformats.org/officeDocument/2006/relationships/worksheet" Target="/xl/worksheets/sheet3.xml" Id="Rf08436046fdc4d2e" /><Relationship Type="http://schemas.openxmlformats.org/officeDocument/2006/relationships/worksheet" Target="/xl/worksheets/sheet4.xml" Id="Rd3153bc2bc96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42" customHeight="1">
      <x:c r="A1" s="47" t="str">
        <x:v>AI智能错分——视觉模型开发报价评估</x:v>
      </x:c>
      <x:c r="B1" s="47"/>
      <x:c r="C1" s="47"/>
      <x:c r="D1" s="47"/>
      <x:c r="E1" s="47"/>
      <x:c r="F1" s="47"/>
      <x:c r="G1" s="47"/>
      <x:c r="H1" s="47"/>
    </x:row>
    <x:row r="2">
      <x:c r="A2" s="48" t="str">
        <x:v>预算日期：2026-07-25 ｜ 方案：单条产线视觉算法试点 ｜ 币种：人民币</x:v>
      </x:c>
      <x:c r="B2" s="48"/>
      <x:c r="C2" s="48"/>
      <x:c r="D2" s="48"/>
      <x:c r="E2" s="48"/>
      <x:c r="F2" s="48"/>
      <x:c r="G2" s="48"/>
      <x:c r="H2" s="48"/>
    </x:row>
    <x:row r="4" ht="28" customHeight="1">
      <x:c r="A4" s="51" t="str">
        <x:v>未税报价</x:v>
      </x:c>
      <x:c r="B4" s="51"/>
      <x:c r="C4" s="73" t="str">
        <x:v>税额（6%）</x:v>
      </x:c>
      <x:c r="D4" s="73"/>
      <x:c r="E4" s="77" t="str">
        <x:v>含税报价</x:v>
      </x:c>
      <x:c r="F4" s="77"/>
      <x:c r="G4" s="81" t="str">
        <x:v>预计周期</x:v>
      </x:c>
      <x:c r="H4" s="81"/>
    </x:row>
    <x:row r="5" ht="28" customHeight="1">
      <x:c r="A5" s="66" t="n">
        <x:f>'详细报价'!H26</x:f>
        <x:v>442000</x:v>
      </x:c>
      <x:c r="B5" s="67"/>
      <x:c r="C5" s="66" t="n">
        <x:f>'详细报价'!J26</x:f>
        <x:v>26520</x:v>
      </x:c>
      <x:c r="D5" s="67"/>
      <x:c r="E5" s="66" t="n">
        <x:f>'详细报价'!K26</x:f>
        <x:v>468520</x:v>
      </x:c>
      <x:c r="F5" s="67"/>
      <x:c r="G5" s="90" t="str">
        <x:v>10–12周</x:v>
      </x:c>
      <x:c r="H5" s="91"/>
    </x:row>
    <x:row r="6" ht="28" customHeight="1">
      <x:c r="A6" s="68"/>
      <x:c r="B6" s="69"/>
      <x:c r="C6" s="68"/>
      <x:c r="D6" s="69"/>
      <x:c r="E6" s="68"/>
      <x:c r="F6" s="69"/>
      <x:c r="G6" s="92"/>
      <x:c r="H6" s="93"/>
    </x:row>
    <x:row r="8">
      <x:c r="A8" s="95" t="str">
        <x:v>费用构成</x:v>
      </x:c>
      <x:c r="B8" s="95"/>
      <x:c r="C8" s="95"/>
      <x:c r="D8" s="95"/>
      <x:c r="E8" s="95"/>
      <x:c r="F8" s="95"/>
      <x:c r="G8" s="95"/>
      <x:c r="H8" s="95"/>
    </x:row>
    <x:row r="9">
      <x:c r="A9" s="96" t="str">
        <x:v>费用类别</x:v>
      </x:c>
      <x:c r="B9" s="96" t="str">
        <x:v>未税金额</x:v>
      </x:c>
      <x:c r="C9" s="96" t="str">
        <x:v>占比</x:v>
      </x:c>
      <x:c r="E9" s="96" t="str">
        <x:v>报价档位建议</x:v>
      </x:c>
      <x:c r="F9" s="96"/>
      <x:c r="G9" s="96"/>
      <x:c r="H9" s="96"/>
    </x:row>
    <x:row r="10">
      <x:c r="A10" s="98" t="str">
        <x:v>需求与数据</x:v>
      </x:c>
      <x:c r="B10" s="100" t="n">
        <x:f>SUMIF('详细报价'!$B$5:$B$25,A10,'详细报价'!$H$5:$H$25)</x:f>
        <x:v>42000</x:v>
      </x:c>
      <x:c r="C10" s="103" t="n">
        <x:f>B10/$B$18</x:f>
        <x:v>0.09502262443438914</x:v>
      </x:c>
      <x:c r="E10" s="107" t="str">
        <x:v>档位</x:v>
      </x:c>
      <x:c r="F10" s="107" t="str">
        <x:v>未税预算</x:v>
      </x:c>
      <x:c r="G10" s="107" t="str">
        <x:v>含税预算</x:v>
      </x:c>
      <x:c r="H10" s="107" t="str">
        <x:v>适用范围</x:v>
      </x:c>
    </x:row>
    <x:row r="11" ht="42" customHeight="1">
      <x:c r="A11" s="99" t="str">
        <x:v>人工标注</x:v>
      </x:c>
      <x:c r="B11" s="101" t="n">
        <x:f>SUMIF('详细报价'!$B$5:$B$25,A11,'详细报价'!$H$5:$H$25)</x:f>
        <x:v>72000</x:v>
      </x:c>
      <x:c r="C11" s="104" t="n">
        <x:f>B11/$B$18</x:f>
        <x:v>0.16289592760180996</x:v>
      </x:c>
      <x:c r="E11" s="117" t="str">
        <x:v>POC验证版</x:v>
      </x:c>
      <x:c r="F11" s="118" t="n">
        <x:v>158000</x:v>
      </x:c>
      <x:c r="G11" s="118" t="n">
        <x:v>167480</x:v>
      </x:c>
      <x:c r="H11" s="117" t="str">
        <x:v>约2,000帧；离线验证；不承诺生产误报指标</x:v>
      </x:c>
    </x:row>
    <x:row r="12" ht="42" customHeight="1">
      <x:c r="A12" s="99" t="str">
        <x:v>数据治理</x:v>
      </x:c>
      <x:c r="B12" s="101" t="n">
        <x:f>SUMIF('详细报价'!$B$5:$B$25,A12,'详细报价'!$H$5:$H$25)</x:f>
        <x:v>12000</x:v>
      </x:c>
      <x:c r="C12" s="104" t="n">
        <x:f>B12/$B$18</x:f>
        <x:v>0.027149321266968326</x:v>
      </x:c>
      <x:c r="E12" s="123" t="str">
        <x:v>试点交付版（推荐）</x:v>
      </x:c>
      <x:c r="F12" s="124" t="n">
        <x:f>'详细报价'!H26</x:f>
        <x:v>442000</x:v>
      </x:c>
      <x:c r="G12" s="124" t="n">
        <x:f>'详细报价'!K26</x:f>
        <x:v>468520</x:v>
      </x:c>
      <x:c r="H12" s="123" t="str">
        <x:v>约8,000帧；3类异常；SDK；两轮迭代</x:v>
      </x:c>
    </x:row>
    <x:row r="13" ht="42" customHeight="1">
      <x:c r="A13" s="99" t="str">
        <x:v>核心模型</x:v>
      </x:c>
      <x:c r="B13" s="101" t="n">
        <x:f>SUMIF('详细报价'!$B$5:$B$25,A13,'详细报价'!$H$5:$H$25)</x:f>
        <x:v>100000</x:v>
      </x:c>
      <x:c r="C13" s="104" t="n">
        <x:f>B13/$B$18</x:f>
        <x:v>0.22624434389140272</x:v>
      </x:c>
      <x:c r="E13" s="119" t="str">
        <x:v>生产增强版</x:v>
      </x:c>
      <x:c r="F13" s="120" t="n">
        <x:v>589600</x:v>
      </x:c>
      <x:c r="G13" s="120" t="n">
        <x:v>625000</x:v>
      </x:c>
      <x:c r="H13" s="119" t="str">
        <x:v>约12,000–15,000帧；更多现场数据与三轮迭代</x:v>
      </x:c>
    </x:row>
    <x:row r="14">
      <x:c r="A14" s="99" t="str">
        <x:v>异常算法</x:v>
      </x:c>
      <x:c r="B14" s="101" t="n">
        <x:f>SUMIF('详细报价'!$B$5:$B$25,A14,'详细报价'!$H$5:$H$25)</x:f>
        <x:v>85000</x:v>
      </x:c>
      <x:c r="C14" s="104" t="n">
        <x:f>B14/$B$18</x:f>
        <x:v>0.19230769230769232</x:v>
      </x:c>
    </x:row>
    <x:row r="15">
      <x:c r="A15" s="99" t="str">
        <x:v>迭代优化</x:v>
      </x:c>
      <x:c r="B15" s="101" t="n">
        <x:f>SUMIF('详细报价'!$B$5:$B$25,A15,'详细报价'!$H$5:$H$25)</x:f>
        <x:v>60000</x:v>
      </x:c>
      <x:c r="C15" s="104" t="n">
        <x:f>B15/$B$18</x:f>
        <x:v>0.13574660633484162</x:v>
      </x:c>
      <x:c r="E15" s="28" t="str">
        <x:v>报价边界</x:v>
      </x:c>
      <x:c r="F15" s="28"/>
      <x:c r="G15" s="28"/>
      <x:c r="H15" s="28"/>
    </x:row>
    <x:row r="16">
      <x:c r="A16" s="99" t="str">
        <x:v>测试交付</x:v>
      </x:c>
      <x:c r="B16" s="101" t="n">
        <x:f>SUMIF('详细报价'!$B$5:$B$25,A16,'详细报价'!$H$5:$H$25)</x:f>
        <x:v>60000</x:v>
      </x:c>
      <x:c r="C16" s="104" t="n">
        <x:f>B16/$B$18</x:f>
        <x:v>0.13574660633484162</x:v>
      </x:c>
      <x:c r="E16" s="144" t="str">
        <x:v>包含：人工标注、标注质检、模型训练、GPU资源、跟踪归属、三类异常算法、模型优化与SDK交付。
不包含：相机/工控机/服务器、WCS/PLC正式联调、管理后台、APP、差旅及Ultralytics商业授权。</x:v>
      </x:c>
      <x:c r="F16" s="145"/>
      <x:c r="G16" s="145"/>
      <x:c r="H16" s="146"/>
    </x:row>
    <x:row r="17">
      <x:c r="A17" s="99" t="str">
        <x:v>GPU资源</x:v>
      </x:c>
      <x:c r="B17" s="101" t="n">
        <x:f>SUMIF('详细报价'!$B$5:$B$25,A17,'详细报价'!$H$5:$H$25)</x:f>
        <x:v>11000</x:v>
      </x:c>
      <x:c r="C17" s="104" t="n">
        <x:f>B17/$B$18</x:f>
        <x:v>0.024886877828054297</x:v>
      </x:c>
      <x:c r="E17" s="147"/>
      <x:c r="F17" s="148"/>
      <x:c r="G17" s="148"/>
      <x:c r="H17" s="149"/>
    </x:row>
    <x:row r="18">
      <x:c r="A18" s="28" t="str">
        <x:v>合计</x:v>
      </x:c>
      <x:c r="B18" s="102" t="n">
        <x:f>'详细报价'!H26</x:f>
        <x:v>442000</x:v>
      </x:c>
      <x:c r="C18" s="105" t="n">
        <x:f>SUM(C10:C17)</x:f>
        <x:v>0.9999999999999999</x:v>
      </x:c>
      <x:c r="E18" s="150"/>
      <x:c r="F18" s="151"/>
      <x:c r="G18" s="151"/>
      <x:c r="H18" s="152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E9:H9"/>
    <x:mergeCell ref="E15:H15"/>
    <x:mergeCell ref="E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8" hidden="0" customWidth="1"/>
    <x:col min="4" max="4" width="24" hidden="0" customWidth="1"/>
    <x:col min="5" max="5" width="10" hidden="0" customWidth="1"/>
    <x:col min="6" max="6" width="11" hidden="0" customWidth="1"/>
    <x:col min="7" max="7" width="14" hidden="0" customWidth="1"/>
    <x:col min="8" max="8" width="15" hidden="0" customWidth="1"/>
    <x:col min="9" max="9" width="10" hidden="0" customWidth="1"/>
    <x:col min="10" max="10" width="14" hidden="0" customWidth="1"/>
    <x:col min="11" max="11" width="15" hidden="0" customWidth="1"/>
    <x:col min="12" max="12" width="42" hidden="0" customWidth="1"/>
  </x:cols>
  <x:sheetData>
    <x:row r="1" ht="36" customHeight="1">
      <x:c r="A1" s="4" t="str">
        <x:v>AI错分视觉模型开发——详细报价（预算版）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范围：视频人工标注、模型训练、GPU资源及人力成本；不含相机、工控机、服务器、后台APP和现场弱电。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20" t="str">
        <x:v>序号</x:v>
      </x:c>
      <x:c r="B4" s="21" t="str">
        <x:v>费用类别</x:v>
      </x:c>
      <x:c r="C4" s="21" t="str">
        <x:v>工作项</x:v>
      </x:c>
      <x:c r="D4" s="21" t="str">
        <x:v>计价依据</x:v>
      </x:c>
      <x:c r="E4" s="21" t="str">
        <x:v>数量</x:v>
      </x:c>
      <x:c r="F4" s="21" t="str">
        <x:v>单位</x:v>
      </x:c>
      <x:c r="G4" s="21" t="str">
        <x:v>未税单价</x:v>
      </x:c>
      <x:c r="H4" s="21" t="str">
        <x:v>未税金额</x:v>
      </x:c>
      <x:c r="I4" s="21" t="str">
        <x:v>税率</x:v>
      </x:c>
      <x:c r="J4" s="21" t="str">
        <x:v>税额</x:v>
      </x:c>
      <x:c r="K4" s="21" t="str">
        <x:v>含税金额</x:v>
      </x:c>
      <x:c r="L4" s="22" t="str">
        <x:v>交付/说明</x:v>
      </x:c>
    </x:row>
    <x:row r="5" ht="36" customHeight="1">
      <x:c r="A5" s="40" t="n">
        <x:v>1</x:v>
      </x:c>
      <x:c r="B5" s="26" t="str">
        <x:v>需求与数据</x:v>
      </x:c>
      <x:c r="C5" s="42" t="str">
        <x:v>现场场景与异常定义梳理</x:v>
      </x:c>
      <x:c r="D5" s="42" t="str">
        <x:v>高级方案/算法人员</x:v>
      </x:c>
      <x:c r="E5" s="40" t="n">
        <x:v>6</x:v>
      </x:c>
      <x:c r="F5" s="40" t="str">
        <x:v>人天</x:v>
      </x:c>
      <x:c r="G5" s="35" t="n">
        <x:v>2500</x:v>
      </x:c>
      <x:c r="H5" s="35" t="n">
        <x:f>E5*G5</x:f>
        <x:v>15000</x:v>
      </x:c>
      <x:c r="I5" s="38" t="n">
        <x:v>0.06</x:v>
      </x:c>
      <x:c r="J5" s="35" t="n">
        <x:f>H5*I5</x:f>
        <x:v>900</x:v>
      </x:c>
      <x:c r="K5" s="35" t="n">
        <x:f>H5+J5</x:f>
        <x:v>15900</x:v>
      </x:c>
      <x:c r="L5" s="42" t="str">
        <x:v>明确3类异常、门/小车/格口关系及数据口径</x:v>
      </x:c>
    </x:row>
    <x:row r="6" ht="36" customHeight="1">
      <x:c r="A6" s="41" t="n">
        <x:v>2</x:v>
      </x:c>
      <x:c r="B6" s="27" t="str">
        <x:v>需求与数据</x:v>
      </x:c>
      <x:c r="C6" s="43" t="str">
        <x:v>标注规范与黄金样本制定</x:v>
      </x:c>
      <x:c r="D6" s="43" t="str">
        <x:v>高级算法人员</x:v>
      </x:c>
      <x:c r="E6" s="41" t="n">
        <x:v>6</x:v>
      </x:c>
      <x:c r="F6" s="41" t="str">
        <x:v>人天</x:v>
      </x:c>
      <x:c r="G6" s="36" t="n">
        <x:v>2500</x:v>
      </x:c>
      <x:c r="H6" s="36" t="n">
        <x:f>E6*G6</x:f>
        <x:v>15000</x:v>
      </x:c>
      <x:c r="I6" s="39" t="n">
        <x:v>0.06</x:v>
      </x:c>
      <x:c r="J6" s="36" t="n">
        <x:f>H6*I6</x:f>
        <x:v>900</x:v>
      </x:c>
      <x:c r="K6" s="36" t="n">
        <x:f>H6+J6</x:f>
        <x:v>15900</x:v>
      </x:c>
      <x:c r="L6" s="43" t="str">
        <x:v>形成parcel、gate_open、gate_closed、cart_load_area规范</x:v>
      </x:c>
    </x:row>
    <x:row r="7" ht="36" customHeight="1">
      <x:c r="A7" s="41" t="n">
        <x:v>3</x:v>
      </x:c>
      <x:c r="B7" s="27" t="str">
        <x:v>需求与数据</x:v>
      </x:c>
      <x:c r="C7" s="43" t="str">
        <x:v>视频抽帧、去重与样本切分</x:v>
      </x:c>
      <x:c r="D7" s="43" t="str">
        <x:v>数据工程人员</x:v>
      </x:c>
      <x:c r="E7" s="41" t="n">
        <x:v>6</x:v>
      </x:c>
      <x:c r="F7" s="41" t="str">
        <x:v>人天</x:v>
      </x:c>
      <x:c r="G7" s="36" t="n">
        <x:v>2000</x:v>
      </x:c>
      <x:c r="H7" s="36" t="n">
        <x:f>E7*G7</x:f>
        <x:v>12000</x:v>
      </x:c>
      <x:c r="I7" s="39" t="n">
        <x:v>0.06</x:v>
      </x:c>
      <x:c r="J7" s="36" t="n">
        <x:f>H7*I7</x:f>
        <x:v>720</x:v>
      </x:c>
      <x:c r="K7" s="36" t="n">
        <x:f>H7+J7</x:f>
        <x:v>12720</x:v>
      </x:c>
      <x:c r="L7" s="43" t="str">
        <x:v>按视频批次划分训练/验证/测试集</x:v>
      </x:c>
    </x:row>
    <x:row r="8" ht="36" customHeight="1">
      <x:c r="A8" s="41" t="n">
        <x:v>4</x:v>
      </x:c>
      <x:c r="B8" s="27" t="str">
        <x:v>人工标注</x:v>
      </x:c>
      <x:c r="C8" s="43" t="str">
        <x:v>目标框人工标注</x:v>
      </x:c>
      <x:c r="D8" s="43" t="str">
        <x:v>约8,000帧</x:v>
      </x:c>
      <x:c r="E8" s="41" t="n">
        <x:v>8000</x:v>
      </x:c>
      <x:c r="F8" s="41" t="str">
        <x:v>帧</x:v>
      </x:c>
      <x:c r="G8" s="36" t="n">
        <x:v>6</x:v>
      </x:c>
      <x:c r="H8" s="36" t="n">
        <x:f>E8*G8</x:f>
        <x:v>48000</x:v>
      </x:c>
      <x:c r="I8" s="39" t="n">
        <x:v>0.06</x:v>
      </x:c>
      <x:c r="J8" s="36" t="n">
        <x:f>H8*I8</x:f>
        <x:v>2880</x:v>
      </x:c>
      <x:c r="K8" s="36" t="n">
        <x:f>H8+J8</x:f>
        <x:v>50880</x:v>
      </x:c>
      <x:c r="L8" s="43" t="str">
        <x:v>每帧标注包裹、门状态和小车载物区域</x:v>
      </x:c>
    </x:row>
    <x:row r="9" ht="36" customHeight="1">
      <x:c r="A9" s="41" t="n">
        <x:v>5</x:v>
      </x:c>
      <x:c r="B9" s="27" t="str">
        <x:v>人工标注</x:v>
      </x:c>
      <x:c r="C9" s="43" t="str">
        <x:v>标注质检与返修</x:v>
      </x:c>
      <x:c r="D9" s="43" t="str">
        <x:v>约8,000帧</x:v>
      </x:c>
      <x:c r="E9" s="41" t="n">
        <x:v>8000</x:v>
      </x:c>
      <x:c r="F9" s="41" t="str">
        <x:v>帧</x:v>
      </x:c>
      <x:c r="G9" s="36" t="n">
        <x:v>2</x:v>
      </x:c>
      <x:c r="H9" s="36" t="n">
        <x:f>E9*G9</x:f>
        <x:v>16000</x:v>
      </x:c>
      <x:c r="I9" s="39" t="n">
        <x:v>0.06</x:v>
      </x:c>
      <x:c r="J9" s="36" t="n">
        <x:f>H9*I9</x:f>
        <x:v>960</x:v>
      </x:c>
      <x:c r="K9" s="36" t="n">
        <x:f>H9+J9</x:f>
        <x:v>16960</x:v>
      </x:c>
      <x:c r="L9" s="43" t="str">
        <x:v>双人抽检、难例复核、错框返修</x:v>
      </x:c>
    </x:row>
    <x:row r="10" ht="36" customHeight="1">
      <x:c r="A10" s="41" t="n">
        <x:v>6</x:v>
      </x:c>
      <x:c r="B10" s="27" t="str">
        <x:v>人工标注</x:v>
      </x:c>
      <x:c r="C10" s="43" t="str">
        <x:v>事件级时间段标注</x:v>
      </x:c>
      <x:c r="D10" s="43" t="str">
        <x:v>约200段视频</x:v>
      </x:c>
      <x:c r="E10" s="41" t="n">
        <x:v>200</x:v>
      </x:c>
      <x:c r="F10" s="41" t="str">
        <x:v>段</x:v>
      </x:c>
      <x:c r="G10" s="36" t="n">
        <x:v>40</x:v>
      </x:c>
      <x:c r="H10" s="36" t="n">
        <x:f>E10*G10</x:f>
        <x:v>8000</x:v>
      </x:c>
      <x:c r="I10" s="39" t="n">
        <x:v>0.06</x:v>
      </x:c>
      <x:c r="J10" s="36" t="n">
        <x:f>H10*I10</x:f>
        <x:v>480</x:v>
      </x:c>
      <x:c r="K10" s="36" t="n">
        <x:f>H10+J10</x:f>
        <x:v>8480</x:v>
      </x:c>
      <x:c r="L10" s="43" t="str">
        <x:v>标出开门未落、掉错格口、一车多件及正常对照</x:v>
      </x:c>
    </x:row>
    <x:row r="11" ht="36" customHeight="1">
      <x:c r="A11" s="41" t="n">
        <x:v>7</x:v>
      </x:c>
      <x:c r="B11" s="27" t="str">
        <x:v>数据治理</x:v>
      </x:c>
      <x:c r="C11" s="43" t="str">
        <x:v>数据集版本管理与质量报告</x:v>
      </x:c>
      <x:c r="D11" s="43" t="str">
        <x:v>数据工程人员</x:v>
      </x:c>
      <x:c r="E11" s="41" t="n">
        <x:v>6</x:v>
      </x:c>
      <x:c r="F11" s="41" t="str">
        <x:v>人天</x:v>
      </x:c>
      <x:c r="G11" s="36" t="n">
        <x:v>2000</x:v>
      </x:c>
      <x:c r="H11" s="36" t="n">
        <x:f>E11*G11</x:f>
        <x:v>12000</x:v>
      </x:c>
      <x:c r="I11" s="39" t="n">
        <x:v>0.06</x:v>
      </x:c>
      <x:c r="J11" s="36" t="n">
        <x:f>H11*I11</x:f>
        <x:v>720</x:v>
      </x:c>
      <x:c r="K11" s="36" t="n">
        <x:f>H11+J11</x:f>
        <x:v>12720</x:v>
      </x:c>
      <x:c r="L11" s="43" t="str">
        <x:v>数据版本、类别统计、泄漏检查及质量报告</x:v>
      </x:c>
    </x:row>
    <x:row r="12" ht="36" customHeight="1">
      <x:c r="A12" s="41" t="n">
        <x:v>8</x:v>
      </x:c>
      <x:c r="B12" s="27" t="str">
        <x:v>核心模型</x:v>
      </x:c>
      <x:c r="C12" s="43" t="str">
        <x:v>YOLO目标检测模型定制训练</x:v>
      </x:c>
      <x:c r="D12" s="43" t="str">
        <x:v>视觉算法工程师</x:v>
      </x:c>
      <x:c r="E12" s="41" t="n">
        <x:v>20</x:v>
      </x:c>
      <x:c r="F12" s="41" t="str">
        <x:v>人天</x:v>
      </x:c>
      <x:c r="G12" s="36" t="n">
        <x:v>2750</x:v>
      </x:c>
      <x:c r="H12" s="36" t="n">
        <x:f>E12*G12</x:f>
        <x:v>55000</x:v>
      </x:c>
      <x:c r="I12" s="39" t="n">
        <x:v>0.06</x:v>
      </x:c>
      <x:c r="J12" s="36" t="n">
        <x:f>H12*I12</x:f>
        <x:v>3300</x:v>
      </x:c>
      <x:c r="K12" s="36" t="n">
        <x:f>H12+J12</x:f>
        <x:v>58300</x:v>
      </x:c>
      <x:c r="L12" s="43" t="str">
        <x:v>检测包裹、开门、关门、小车载物区域</x:v>
      </x:c>
    </x:row>
    <x:row r="13" ht="36" customHeight="1">
      <x:c r="A13" s="41" t="n">
        <x:v>9</x:v>
      </x:c>
      <x:c r="B13" s="27" t="str">
        <x:v>核心模型</x:v>
      </x:c>
      <x:c r="C13" s="43" t="str">
        <x:v>多目标跟踪与小车归属</x:v>
      </x:c>
      <x:c r="D13" s="43" t="str">
        <x:v>视觉算法工程师</x:v>
      </x:c>
      <x:c r="E13" s="41" t="n">
        <x:v>15</x:v>
      </x:c>
      <x:c r="F13" s="41" t="str">
        <x:v>人天</x:v>
      </x:c>
      <x:c r="G13" s="36" t="n">
        <x:v>3000</x:v>
      </x:c>
      <x:c r="H13" s="36" t="n">
        <x:f>E13*G13</x:f>
        <x:v>45000</x:v>
      </x:c>
      <x:c r="I13" s="39" t="n">
        <x:v>0.06</x:v>
      </x:c>
      <x:c r="J13" s="36" t="n">
        <x:f>H13*I13</x:f>
        <x:v>2700</x:v>
      </x:c>
      <x:c r="K13" s="36" t="n">
        <x:f>H13+J13</x:f>
        <x:v>47700</x:v>
      </x:c>
      <x:c r="L13" s="43" t="str">
        <x:v>包裹跟踪ID及parcel→cart_load_area归属</x:v>
      </x:c>
    </x:row>
    <x:row r="14" ht="36" customHeight="1">
      <x:c r="A14" s="41" t="n">
        <x:v>10</x:v>
      </x:c>
      <x:c r="B14" s="27" t="str">
        <x:v>异常算法</x:v>
      </x:c>
      <x:c r="C14" s="43" t="str">
        <x:v>开门未落判断</x:v>
      </x:c>
      <x:c r="D14" s="43" t="str">
        <x:v>视觉算法工程师</x:v>
      </x:c>
      <x:c r="E14" s="41" t="n">
        <x:v>10</x:v>
      </x:c>
      <x:c r="F14" s="41" t="str">
        <x:v>人天</x:v>
      </x:c>
      <x:c r="G14" s="36" t="n">
        <x:v>2500</x:v>
      </x:c>
      <x:c r="H14" s="36" t="n">
        <x:f>E14*G14</x:f>
        <x:v>25000</x:v>
      </x:c>
      <x:c r="I14" s="39" t="n">
        <x:v>0.06</x:v>
      </x:c>
      <x:c r="J14" s="36" t="n">
        <x:f>H14*I14</x:f>
        <x:v>1500</x:v>
      </x:c>
      <x:c r="K14" s="36" t="n">
        <x:f>H14+J14</x:f>
        <x:v>26500</x:v>
      </x:c>
      <x:c r="L14" s="43" t="str">
        <x:v>开门状态、包裹滞留时间和离开轨迹</x:v>
      </x:c>
    </x:row>
    <x:row r="15" ht="36" customHeight="1">
      <x:c r="A15" s="41" t="n">
        <x:v>11</x:v>
      </x:c>
      <x:c r="B15" s="27" t="str">
        <x:v>异常算法</x:v>
      </x:c>
      <x:c r="C15" s="43" t="str">
        <x:v>A格开门、包裹落入B格判断</x:v>
      </x:c>
      <x:c r="D15" s="43" t="str">
        <x:v>视觉算法工程师</x:v>
      </x:c>
      <x:c r="E15" s="41" t="n">
        <x:v>14</x:v>
      </x:c>
      <x:c r="F15" s="41" t="str">
        <x:v>人天</x:v>
      </x:c>
      <x:c r="G15" s="36" t="n">
        <x:v>2500</x:v>
      </x:c>
      <x:c r="H15" s="36" t="n">
        <x:f>E15*G15</x:f>
        <x:v>35000</x:v>
      </x:c>
      <x:c r="I15" s="39" t="n">
        <x:v>0.06</x:v>
      </x:c>
      <x:c r="J15" s="36" t="n">
        <x:f>H15*I15</x:f>
        <x:v>2100</x:v>
      </x:c>
      <x:c r="K15" s="36" t="n">
        <x:f>H15+J15</x:f>
        <x:v>37100</x:v>
      </x:c>
      <x:c r="L15" s="43" t="str">
        <x:v>目标格口与实际轨迹匹配；需格口编号/业务目标</x:v>
      </x:c>
    </x:row>
    <x:row r="16" ht="36" customHeight="1">
      <x:c r="A16" s="41" t="n">
        <x:v>12</x:v>
      </x:c>
      <x:c r="B16" s="27" t="str">
        <x:v>异常算法</x:v>
      </x:c>
      <x:c r="C16" s="43" t="str">
        <x:v>同一小车两件及以上判断</x:v>
      </x:c>
      <x:c r="D16" s="43" t="str">
        <x:v>视觉算法工程师</x:v>
      </x:c>
      <x:c r="E16" s="41" t="n">
        <x:v>10</x:v>
      </x:c>
      <x:c r="F16" s="41" t="str">
        <x:v>人天</x:v>
      </x:c>
      <x:c r="G16" s="36" t="n">
        <x:v>2500</x:v>
      </x:c>
      <x:c r="H16" s="36" t="n">
        <x:f>E16*G16</x:f>
        <x:v>25000</x:v>
      </x:c>
      <x:c r="I16" s="39" t="n">
        <x:v>0.06</x:v>
      </x:c>
      <x:c r="J16" s="36" t="n">
        <x:f>H16*I16</x:f>
        <x:v>1500</x:v>
      </x:c>
      <x:c r="K16" s="36" t="n">
        <x:f>H16+J16</x:f>
        <x:v>26500</x:v>
      </x:c>
      <x:c r="L16" s="43" t="str">
        <x:v>同一小车区域内多个不同包裹跟踪ID</x:v>
      </x:c>
    </x:row>
    <x:row r="17" ht="36" customHeight="1">
      <x:c r="A17" s="41" t="n">
        <x:v>13</x:v>
      </x:c>
      <x:c r="B17" s="27" t="str">
        <x:v>迭代优化</x:v>
      </x:c>
      <x:c r="C17" s="43" t="str">
        <x:v>难例挖掘与两轮模型迭代</x:v>
      </x:c>
      <x:c r="D17" s="43" t="str">
        <x:v>视觉算法工程师</x:v>
      </x:c>
      <x:c r="E17" s="41" t="n">
        <x:v>14</x:v>
      </x:c>
      <x:c r="F17" s="41" t="str">
        <x:v>人天</x:v>
      </x:c>
      <x:c r="G17" s="36" t="n">
        <x:v>2500</x:v>
      </x:c>
      <x:c r="H17" s="36" t="n">
        <x:f>E17*G17</x:f>
        <x:v>35000</x:v>
      </x:c>
      <x:c r="I17" s="39" t="n">
        <x:v>0.06</x:v>
      </x:c>
      <x:c r="J17" s="36" t="n">
        <x:f>H17*I17</x:f>
        <x:v>2100</x:v>
      </x:c>
      <x:c r="K17" s="36" t="n">
        <x:f>H17+J17</x:f>
        <x:v>37100</x:v>
      </x:c>
      <x:c r="L17" s="43" t="str">
        <x:v>覆盖黑袋、白包、遮挡、运动模糊和异常门状态</x:v>
      </x:c>
    </x:row>
    <x:row r="18" ht="36" customHeight="1">
      <x:c r="A18" s="41" t="n">
        <x:v>14</x:v>
      </x:c>
      <x:c r="B18" s="27" t="str">
        <x:v>迭代优化</x:v>
      </x:c>
      <x:c r="C18" s="43" t="str">
        <x:v>ONNX/TensorRT推理优化</x:v>
      </x:c>
      <x:c r="D18" s="43" t="str">
        <x:v>推理工程师</x:v>
      </x:c>
      <x:c r="E18" s="41" t="n">
        <x:v>10</x:v>
      </x:c>
      <x:c r="F18" s="41" t="str">
        <x:v>人天</x:v>
      </x:c>
      <x:c r="G18" s="36" t="n">
        <x:v>2500</x:v>
      </x:c>
      <x:c r="H18" s="36" t="n">
        <x:f>E18*G18</x:f>
        <x:v>25000</x:v>
      </x:c>
      <x:c r="I18" s="39" t="n">
        <x:v>0.06</x:v>
      </x:c>
      <x:c r="J18" s="36" t="n">
        <x:f>H18*I18</x:f>
        <x:v>1500</x:v>
      </x:c>
      <x:c r="K18" s="36" t="n">
        <x:f>H18+J18</x:f>
        <x:v>26500</x:v>
      </x:c>
      <x:c r="L18" s="43" t="str">
        <x:v>模型导出、测速、显存与并发优化</x:v>
      </x:c>
    </x:row>
    <x:row r="19" ht="36" customHeight="1">
      <x:c r="A19" s="41" t="n">
        <x:v>15</x:v>
      </x:c>
      <x:c r="B19" s="27" t="str">
        <x:v>测试交付</x:v>
      </x:c>
      <x:c r="C19" s="43" t="str">
        <x:v>独立测试集评估与报告</x:v>
      </x:c>
      <x:c r="D19" s="43" t="str">
        <x:v>测试/算法人员</x:v>
      </x:c>
      <x:c r="E19" s="41" t="n">
        <x:v>10</x:v>
      </x:c>
      <x:c r="F19" s="41" t="str">
        <x:v>人天</x:v>
      </x:c>
      <x:c r="G19" s="36" t="n">
        <x:v>2000</x:v>
      </x:c>
      <x:c r="H19" s="36" t="n">
        <x:f>E19*G19</x:f>
        <x:v>20000</x:v>
      </x:c>
      <x:c r="I19" s="39" t="n">
        <x:v>0.06</x:v>
      </x:c>
      <x:c r="J19" s="36" t="n">
        <x:f>H19*I19</x:f>
        <x:v>1200</x:v>
      </x:c>
      <x:c r="K19" s="36" t="n">
        <x:f>H19+J19</x:f>
        <x:v>21200</x:v>
      </x:c>
      <x:c r="L19" s="43" t="str">
        <x:v>检测精度、异常召回、误报和时延报告</x:v>
      </x:c>
    </x:row>
    <x:row r="20" ht="36" customHeight="1">
      <x:c r="A20" s="41" t="n">
        <x:v>16</x:v>
      </x:c>
      <x:c r="B20" s="27" t="str">
        <x:v>测试交付</x:v>
      </x:c>
      <x:c r="C20" s="43" t="str">
        <x:v>SDK/API及示例程序</x:v>
      </x:c>
      <x:c r="D20" s="43" t="str">
        <x:v>推理工程师</x:v>
      </x:c>
      <x:c r="E20" s="41" t="n">
        <x:v>6</x:v>
      </x:c>
      <x:c r="F20" s="41" t="str">
        <x:v>人天</x:v>
      </x:c>
      <x:c r="G20" s="36" t="n">
        <x:v>2500</x:v>
      </x:c>
      <x:c r="H20" s="36" t="n">
        <x:f>E20*G20</x:f>
        <x:v>15000</x:v>
      </x:c>
      <x:c r="I20" s="39" t="n">
        <x:v>0.06</x:v>
      </x:c>
      <x:c r="J20" s="36" t="n">
        <x:f>H20*I20</x:f>
        <x:v>900</x:v>
      </x:c>
      <x:c r="K20" s="36" t="n">
        <x:f>H20+J20</x:f>
        <x:v>15900</x:v>
      </x:c>
      <x:c r="L20" s="43" t="str">
        <x:v>输入视频流，输出目标框和异常事件JSON</x:v>
      </x:c>
    </x:row>
    <x:row r="21" ht="36" customHeight="1">
      <x:c r="A21" s="41" t="n">
        <x:v>17</x:v>
      </x:c>
      <x:c r="B21" s="27" t="str">
        <x:v>测试交付</x:v>
      </x:c>
      <x:c r="C21" s="43" t="str">
        <x:v>项目管理与周报沟通</x:v>
      </x:c>
      <x:c r="D21" s="43" t="str">
        <x:v>项目经理</x:v>
      </x:c>
      <x:c r="E21" s="41" t="n">
        <x:v>6</x:v>
      </x:c>
      <x:c r="F21" s="41" t="str">
        <x:v>人天</x:v>
      </x:c>
      <x:c r="G21" s="36" t="n">
        <x:v>2500</x:v>
      </x:c>
      <x:c r="H21" s="36" t="n">
        <x:f>E21*G21</x:f>
        <x:v>15000</x:v>
      </x:c>
      <x:c r="I21" s="39" t="n">
        <x:v>0.06</x:v>
      </x:c>
      <x:c r="J21" s="36" t="n">
        <x:f>H21*I21</x:f>
        <x:v>900</x:v>
      </x:c>
      <x:c r="K21" s="36" t="n">
        <x:f>H21+J21</x:f>
        <x:v>15900</x:v>
      </x:c>
      <x:c r="L21" s="43" t="str">
        <x:v>进度、风险、数据问题和阶段评审</x:v>
      </x:c>
    </x:row>
    <x:row r="22" ht="36" customHeight="1">
      <x:c r="A22" s="41" t="n">
        <x:v>18</x:v>
      </x:c>
      <x:c r="B22" s="27" t="str">
        <x:v>GPU资源</x:v>
      </x:c>
      <x:c r="C22" s="43" t="str">
        <x:v>训练GPU算力</x:v>
      </x:c>
      <x:c r="D22" s="43" t="str">
        <x:v>4090/A800同等级云资源估算</x:v>
      </x:c>
      <x:c r="E22" s="41" t="n">
        <x:v>400</x:v>
      </x:c>
      <x:c r="F22" s="41" t="str">
        <x:v>GPU小时</x:v>
      </x:c>
      <x:c r="G22" s="36" t="n">
        <x:v>15</x:v>
      </x:c>
      <x:c r="H22" s="36" t="n">
        <x:f>E22*G22</x:f>
        <x:v>6000</x:v>
      </x:c>
      <x:c r="I22" s="39" t="n">
        <x:v>0.06</x:v>
      </x:c>
      <x:c r="J22" s="36" t="n">
        <x:f>H22*I22</x:f>
        <x:v>360</x:v>
      </x:c>
      <x:c r="K22" s="36" t="n">
        <x:f>H22+J22</x:f>
        <x:v>6360</x:v>
      </x:c>
      <x:c r="L22" s="43" t="str">
        <x:v>多轮训练、超参数试验和难例迭代</x:v>
      </x:c>
    </x:row>
    <x:row r="23" ht="36" customHeight="1">
      <x:c r="A23" s="41" t="n">
        <x:v>19</x:v>
      </x:c>
      <x:c r="B23" s="27" t="str">
        <x:v>GPU资源</x:v>
      </x:c>
      <x:c r="C23" s="43" t="str">
        <x:v>推理压测GPU算力</x:v>
      </x:c>
      <x:c r="D23" s="43" t="str">
        <x:v>同等级云资源估算</x:v>
      </x:c>
      <x:c r="E23" s="41" t="n">
        <x:v>100</x:v>
      </x:c>
      <x:c r="F23" s="41" t="str">
        <x:v>GPU小时</x:v>
      </x:c>
      <x:c r="G23" s="36" t="n">
        <x:v>15</x:v>
      </x:c>
      <x:c r="H23" s="36" t="n">
        <x:f>E23*G23</x:f>
        <x:v>1500</x:v>
      </x:c>
      <x:c r="I23" s="39" t="n">
        <x:v>0.06</x:v>
      </x:c>
      <x:c r="J23" s="36" t="n">
        <x:f>H23*I23</x:f>
        <x:v>90</x:v>
      </x:c>
      <x:c r="K23" s="36" t="n">
        <x:f>H23+J23</x:f>
        <x:v>1590</x:v>
      </x:c>
      <x:c r="L23" s="43" t="str">
        <x:v>多路视频、帧率和时延压力测试</x:v>
      </x:c>
    </x:row>
    <x:row r="24" ht="36" customHeight="1">
      <x:c r="A24" s="41" t="n">
        <x:v>20</x:v>
      </x:c>
      <x:c r="B24" s="27" t="str">
        <x:v>GPU资源</x:v>
      </x:c>
      <x:c r="C24" s="43" t="str">
        <x:v>数据存储与备份</x:v>
      </x:c>
      <x:c r="D24" s="43" t="str">
        <x:v>项目周期内预算</x:v>
      </x:c>
      <x:c r="E24" s="41" t="n">
        <x:v>1</x:v>
      </x:c>
      <x:c r="F24" s="41" t="str">
        <x:v>项</x:v>
      </x:c>
      <x:c r="G24" s="36" t="n">
        <x:v>3500</x:v>
      </x:c>
      <x:c r="H24" s="36" t="n">
        <x:f>E24*G24</x:f>
        <x:v>3500</x:v>
      </x:c>
      <x:c r="I24" s="39" t="n">
        <x:v>0.06</x:v>
      </x:c>
      <x:c r="J24" s="36" t="n">
        <x:f>H24*I24</x:f>
        <x:v>210</x:v>
      </x:c>
      <x:c r="K24" s="36" t="n">
        <x:f>H24+J24</x:f>
        <x:v>3710</x:v>
      </x:c>
      <x:c r="L24" s="43" t="str">
        <x:v>原始视频、抽帧、标签、模型和日志</x:v>
      </x:c>
    </x:row>
    <x:row r="25" ht="36" customHeight="1">
      <x:c r="A25" s="41" t="n">
        <x:v>21</x:v>
      </x:c>
      <x:c r="B25" s="27" t="str">
        <x:v>测试交付</x:v>
      </x:c>
      <x:c r="C25" s="43" t="str">
        <x:v>现场视频复测与阈值标定</x:v>
      </x:c>
      <x:c r="D25" s="43" t="str">
        <x:v>算法人员</x:v>
      </x:c>
      <x:c r="E25" s="41" t="n">
        <x:v>4</x:v>
      </x:c>
      <x:c r="F25" s="41" t="str">
        <x:v>人天</x:v>
      </x:c>
      <x:c r="G25" s="36" t="n">
        <x:v>2500</x:v>
      </x:c>
      <x:c r="H25" s="36" t="n">
        <x:f>E25*G25</x:f>
        <x:v>10000</x:v>
      </x:c>
      <x:c r="I25" s="39" t="n">
        <x:v>0.06</x:v>
      </x:c>
      <x:c r="J25" s="36" t="n">
        <x:f>H25*I25</x:f>
        <x:v>600</x:v>
      </x:c>
      <x:c r="K25" s="36" t="n">
        <x:f>H25+J25</x:f>
        <x:v>10600</x:v>
      </x:c>
      <x:c r="L25" s="43" t="str">
        <x:v>基于客户新视频做一次集中标定；不含差旅</x:v>
      </x:c>
    </x:row>
    <x:row r="26" ht="30" customHeight="1">
      <x:c r="A26" s="32" t="str">
        <x:v>合计</x:v>
      </x:c>
      <x:c r="B26" s="33"/>
      <x:c r="C26" s="33"/>
      <x:c r="D26" s="33"/>
      <x:c r="E26" s="33"/>
      <x:c r="F26" s="33"/>
      <x:c r="G26" s="37"/>
      <x:c r="H26" s="37" t="n">
        <x:f>SUM(H5:H25)</x:f>
        <x:v>442000</x:v>
      </x:c>
      <x:c r="I26" s="33" t="str"/>
      <x:c r="J26" s="37" t="n">
        <x:f>SUM(J5:J25)</x:f>
        <x:v>26520</x:v>
      </x:c>
      <x:c r="K26" s="37" t="n">
        <x:f>SUM(K5:K25)</x:f>
        <x:v>468520</x:v>
      </x:c>
      <x:c r="L26" s="44" t="str">
        <x:v>建议客户报价：视觉算法试点版</x:v>
      </x:c>
    </x:row>
  </x:sheetData>
  <x:mergeCells>
    <x:mergeCell ref="A1:L1"/>
    <x:mergeCell ref="A2:L2"/>
    <x:mergeCell ref="A26:G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31" hidden="0" customWidth="1"/>
    <x:col min="4" max="4" width="29" hidden="0" customWidth="1"/>
    <x:col min="5" max="5" width="34" hidden="0" customWidth="1"/>
    <x:col min="6" max="6" width="23" hidden="0" customWidth="1"/>
    <x:col min="7" max="7" width="36" hidden="0" customWidth="1"/>
  </x:cols>
  <x:sheetData>
    <x:row r="1">
      <x:c r="A1" s="3" t="str">
        <x:v>视觉模型范围、客户配合与验收建议</x:v>
      </x:c>
      <x:c r="B1" s="3"/>
      <x:c r="C1" s="3"/>
      <x:c r="D1" s="3"/>
      <x:c r="E1" s="3"/>
      <x:c r="F1" s="3"/>
      <x:c r="G1" s="3"/>
    </x:row>
    <x:row r="3">
      <x:c r="A3" s="155" t="str">
        <x:v>模块</x:v>
      </x:c>
      <x:c r="B3" s="155" t="str">
        <x:v>包含内容</x:v>
      </x:c>
      <x:c r="C3" s="155" t="str">
        <x:v>输入要求</x:v>
      </x:c>
      <x:c r="D3" s="155" t="str">
        <x:v>建议验收指标</x:v>
      </x:c>
      <x:c r="E3" s="155" t="str">
        <x:v>前置条件</x:v>
      </x:c>
      <x:c r="F3" s="155" t="str">
        <x:v>不包含</x:v>
      </x:c>
      <x:c r="G3" s="155" t="str">
        <x:v>备注</x:v>
      </x:c>
    </x:row>
    <x:row r="4" ht="88" customHeight="1">
      <x:c r="A4" s="168" t="str">
        <x:v>基础检测</x:v>
      </x:c>
      <x:c r="B4" s="169" t="str">
        <x:v>parcel、gate_open、gate_closed、cart_load_area</x:v>
      </x:c>
      <x:c r="C4" s="169" t="str">
        <x:v>固定机位、清晰视频、覆盖包裹与门状态</x:v>
      </x:c>
      <x:c r="D4" s="169" t="str">
        <x:v>独立测试集：目标检测Precision≥93%、Recall≥90%（建议值）</x:v>
      </x:c>
      <x:c r="E4" s="169" t="str">
        <x:v>每类至少500个有效目标框；测试视频不得进入训练集</x:v>
      </x:c>
      <x:c r="F4" s="169" t="str">
        <x:v>其他设备缺陷、条码OCR</x:v>
      </x:c>
      <x:c r="G4" s="170" t="str">
        <x:v>最终指标需在现场数据统计后写入合同</x:v>
      </x:c>
    </x:row>
    <x:row r="5" ht="88" customHeight="1">
      <x:c r="A5" s="171" t="str">
        <x:v>开门未落</x:v>
      </x:c>
      <x:c r="B5" s="172" t="str">
        <x:v>开门后包裹滞留时间与离开轨迹</x:v>
      </x:c>
      <x:c r="C5" s="172" t="str">
        <x:v>原始帧率≥25FPS；正常开门到落件时间分布</x:v>
      </x:c>
      <x:c r="D5" s="172" t="str">
        <x:v>事件Recall≥90%、误报率≤5%（建议值）</x:v>
      </x:c>
      <x:c r="E5" s="172" t="str">
        <x:v>每类至少50次独立事件；阈值由正常数据标定</x:v>
      </x:c>
      <x:c r="F5" s="172" t="str">
        <x:v>PLC机械故障诊断</x:v>
      </x:c>
      <x:c r="G5" s="173" t="str">
        <x:v>当前0.6–0.65秒边界样例不足以承诺零误报</x:v>
      </x:c>
    </x:row>
    <x:row r="6" ht="88" customHeight="1">
      <x:c r="A6" s="171" t="str">
        <x:v>掉错格口</x:v>
      </x:c>
      <x:c r="B6" s="172" t="str">
        <x:v>目标格口A与实际轨迹/落点B比较</x:v>
      </x:c>
      <x:c r="C6" s="172" t="str">
        <x:v>格口编号、固定ROI；目标格口来自WCS或开门事件</x:v>
      </x:c>
      <x:c r="D6" s="172" t="str">
        <x:v>事件Recall≥85%、误报率≤8%（建议值）</x:v>
      </x:c>
      <x:c r="E6" s="172" t="str">
        <x:v>必须能确定计划目标格口，且实际落点在画面可见</x:v>
      </x:c>
      <x:c r="F6" s="172" t="str">
        <x:v>看不到落点时的结果保证</x:v>
      </x:c>
      <x:c r="G6" s="173" t="str">
        <x:v>只看parcel/gate三个框不能证明A→B</x:v>
      </x:c>
    </x:row>
    <x:row r="7" ht="88" customHeight="1">
      <x:c r="A7" s="171" t="str">
        <x:v>一车多件</x:v>
      </x:c>
      <x:c r="B7" s="172" t="str">
        <x:v>同一cart_load_area内多个parcel跟踪ID</x:v>
      </x:c>
      <x:c r="C7" s="172" t="str">
        <x:v>小车载物区域标注、完整小车经过画面</x:v>
      </x:c>
      <x:c r="D7" s="172" t="str">
        <x:v>事件Recall≥90%、误报率≤5%（建议值）</x:v>
      </x:c>
      <x:c r="E7" s="172" t="str">
        <x:v>连续3–5帧满足多件，避免相邻小车同框误报</x:v>
      </x:c>
      <x:c r="F7" s="172" t="str">
        <x:v>仅统计全画面包裹数量</x:v>
      </x:c>
      <x:c r="G7" s="173" t="str">
        <x:v>必须判断同一辆小车，不采用“同框两件”规则</x:v>
      </x:c>
    </x:row>
    <x:row r="9">
      <x:c r="A9" s="28" t="str">
        <x:v>客户需提供</x:v>
      </x:c>
      <x:c r="B9" s="28"/>
      <x:c r="C9" s="28"/>
      <x:c r="D9" s="28"/>
      <x:c r="E9" s="28"/>
      <x:c r="F9" s="28"/>
      <x:c r="G9" s="28"/>
    </x:row>
    <x:row r="10" ht="32" customHeight="1">
      <x:c r="A10" s="178" t="str">
        <x:v>1</x:v>
      </x:c>
      <x:c r="B10" s="178" t="str">
        <x:v>原始视频：不同班次、光照、包裹材质，以及正常与异常事件视频</x:v>
      </x:c>
      <x:c r="C10" s="178" t="str"/>
      <x:c r="D10" s="178" t="str"/>
      <x:c r="E10" s="178" t="str"/>
      <x:c r="F10" s="178" t="str"/>
      <x:c r="G10" s="178" t="str"/>
    </x:row>
    <x:row r="11" ht="32" customHeight="1">
      <x:c r="A11" s="179" t="str">
        <x:v>2</x:v>
      </x:c>
      <x:c r="B11" s="179" t="str">
        <x:v>业务真值：异常类型、发生时间、目标格口、实际格口、小车编号</x:v>
      </x:c>
      <x:c r="C11" s="179" t="str"/>
      <x:c r="D11" s="179" t="str"/>
      <x:c r="E11" s="179" t="str"/>
      <x:c r="F11" s="179" t="str"/>
      <x:c r="G11" s="179" t="str"/>
    </x:row>
    <x:row r="12" ht="32" customHeight="1">
      <x:c r="A12" s="179" t="str">
        <x:v>3</x:v>
      </x:c>
      <x:c r="B12" s="179" t="str">
        <x:v>现场规则：正常落件时间范围、报警延迟上限、误报容忍度</x:v>
      </x:c>
      <x:c r="C12" s="179" t="str"/>
      <x:c r="D12" s="179" t="str"/>
      <x:c r="E12" s="179" t="str"/>
      <x:c r="F12" s="179" t="str"/>
      <x:c r="G12" s="179" t="str"/>
    </x:row>
    <x:row r="13" ht="32" customHeight="1">
      <x:c r="A13" s="179" t="str">
        <x:v>4</x:v>
      </x:c>
      <x:c r="B13" s="179" t="str">
        <x:v>验收数据：与训练集独立的视频批次，每类异常建议不少于50次</x:v>
      </x:c>
      <x:c r="C13" s="179" t="str"/>
      <x:c r="D13" s="179" t="str"/>
      <x:c r="E13" s="179" t="str"/>
      <x:c r="F13" s="179" t="str"/>
      <x:c r="G13" s="179" t="str"/>
    </x:row>
  </x:sheetData>
  <x:mergeCells>
    <x:mergeCell ref="A1:G1"/>
    <x:mergeCell ref="A9:G9"/>
    <x:mergeCell ref="B10:G10"/>
    <x:mergeCell ref="B11:G11"/>
    <x:mergeCell ref="B12:G12"/>
    <x:mergeCell ref="B13:G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7" hidden="0" customWidth="1"/>
    <x:col min="4" max="4" width="55" hidden="0" customWidth="1"/>
    <x:col min="5" max="5" width="15" hidden="0" customWidth="1"/>
    <x:col min="6" max="6" width="58" hidden="0" customWidth="1"/>
  </x:cols>
  <x:sheetData>
    <x:row r="1">
      <x:c r="A1" s="3" t="str">
        <x:v>报价依据与风险说明</x:v>
      </x:c>
      <x:c r="B1" s="3"/>
      <x:c r="C1" s="3"/>
      <x:c r="D1" s="3"/>
      <x:c r="E1" s="3"/>
      <x:c r="F1" s="3"/>
    </x:row>
    <x:row r="3">
      <x:c r="A3" s="96" t="str">
        <x:v>项目</x:v>
      </x:c>
      <x:c r="B3" s="96" t="str">
        <x:v>数值/结论</x:v>
      </x:c>
      <x:c r="C3" s="96" t="str">
        <x:v>性质</x:v>
      </x:c>
      <x:c r="D3" s="96" t="str">
        <x:v>来源</x:v>
      </x:c>
      <x:c r="E3" s="96" t="str">
        <x:v>日期</x:v>
      </x:c>
      <x:c r="F3" s="96" t="str">
        <x:v>说明</x:v>
      </x:c>
    </x:row>
    <x:row r="4" ht="62" customHeight="1">
      <x:c r="A4" s="168" t="str">
        <x:v>当前样本基础</x:v>
      </x:c>
      <x:c r="B4" s="169" t="str">
        <x:v>10张人工黄金样本；123帧同场景模型辅助预标注</x:v>
      </x:c>
      <x:c r="C4" s="169" t="str">
        <x:v>项目现状</x:v>
      </x:c>
      <x:c r="D4" s="169" t="str">
        <x:v>/Users/lixing.guo/Documents/机械臂/datasets/sorting_video_123_annotated_v1</x:v>
      </x:c>
      <x:c r="E4" s="169" t="str">
        <x:v>2026-07-25</x:v>
      </x:c>
      <x:c r="F4" s="170" t="str">
        <x:v>不足以直接承诺生产级误报率，报价包含扩充到约8,000帧</x:v>
      </x:c>
    </x:row>
    <x:row r="5" ht="62" customHeight="1">
      <x:c r="A5" s="171" t="str">
        <x:v>GPU小时单价</x:v>
      </x:c>
      <x:c r="B5" s="172" t="str">
        <x:v>¥15/GPU小时</x:v>
      </x:c>
      <x:c r="C5" s="172" t="str">
        <x:v>预算假设</x:v>
      </x:c>
      <x:c r="D5" s="172" t="str">
        <x:v>云资源供应商正式询价前的预算占位</x:v>
      </x:c>
      <x:c r="E5" s="172" t="str">
        <x:v>2026-07-25</x:v>
      </x:c>
      <x:c r="F5" s="173" t="str">
        <x:v>实际按选定GPU型号、区域、包月/按量价格调整</x:v>
      </x:c>
    </x:row>
    <x:row r="6" ht="62" customHeight="1">
      <x:c r="A6" s="171" t="str">
        <x:v>Ultralytics商业许可</x:v>
      </x:c>
      <x:c r="B6" s="172" t="str">
        <x:v>未计入本报价</x:v>
      </x:c>
      <x:c r="C6" s="172" t="str">
        <x:v>许可证风险</x:v>
      </x:c>
      <x:c r="D6" s="172" t="str">
        <x:v>https://www.ultralytics.com/license</x:v>
      </x:c>
      <x:c r="E6" s="172" t="str">
        <x:v>2026-07-25</x:v>
      </x:c>
      <x:c r="F6" s="173" t="str">
        <x:v>官方说明：闭源商业部署通常需要Enterprise License，或整个项目遵循AGPL-3.0开源要求</x:v>
      </x:c>
    </x:row>
    <x:row r="7" ht="62" customHeight="1">
      <x:c r="A7" s="171" t="str">
        <x:v>税率</x:v>
      </x:c>
      <x:c r="B7" s="172" t="str">
        <x:v>6%</x:v>
      </x:c>
      <x:c r="C7" s="172" t="str">
        <x:v>预算假设</x:v>
      </x:c>
      <x:c r="D7" s="172" t="str">
        <x:v>软件开发及技术服务预算口径</x:v>
      </x:c>
      <x:c r="E7" s="172" t="str">
        <x:v>2026-07-25</x:v>
      </x:c>
      <x:c r="F7" s="173" t="str">
        <x:v>最终以合同主体、开票内容和财税确认结果为准</x:v>
      </x:c>
    </x:row>
    <x:row r="8" ht="62" customHeight="1">
      <x:c r="A8" s="171" t="str">
        <x:v>报价有效期</x:v>
      </x:c>
      <x:c r="B8" s="172" t="str">
        <x:v>30天</x:v>
      </x:c>
      <x:c r="C8" s="172" t="str">
        <x:v>商务假设</x:v>
      </x:c>
      <x:c r="D8" s="172" t="str">
        <x:v>本预算表</x:v>
      </x:c>
      <x:c r="E8" s="172" t="str">
        <x:v>2026-07-25</x:v>
      </x:c>
      <x:c r="F8" s="173" t="str">
        <x:v>数据规模、异常类别或验收指标变化时需重新估价</x:v>
      </x:c>
    </x:row>
    <x:row r="10">
      <x:c r="A10" s="28" t="str">
        <x:v>重要商务说明</x:v>
      </x:c>
      <x:c r="B10" s="28"/>
      <x:c r="C10" s="28"/>
      <x:c r="D10" s="28"/>
      <x:c r="E10" s="28"/>
      <x:c r="F10" s="28"/>
    </x:row>
    <x:row r="11" ht="32" customHeight="1">
      <x:c r="A11" s="185" t="str">
        <x:v>1</x:v>
      </x:c>
      <x:c r="B11" s="185" t="str">
        <x:v>本报价是预算评估，不构成对“零误报”的承诺。</x:v>
      </x:c>
      <x:c r="C11" s="185" t="str"/>
      <x:c r="D11" s="185" t="str"/>
      <x:c r="E11" s="185" t="str"/>
      <x:c r="F11" s="185" t="str"/>
    </x:row>
    <x:row r="12" ht="32" customHeight="1">
      <x:c r="A12" s="186" t="str">
        <x:v>2</x:v>
      </x:c>
      <x:c r="B12" s="186" t="str">
        <x:v>建议先签POC或试点阶段；客户正式立项后，以现场勘察和数据清单更新工作量。</x:v>
      </x:c>
      <x:c r="C12" s="186" t="str"/>
      <x:c r="D12" s="186" t="str"/>
      <x:c r="E12" s="186" t="str"/>
      <x:c r="F12" s="186" t="str"/>
    </x:row>
    <x:row r="13" ht="32" customHeight="1">
      <x:c r="A13" s="186" t="str">
        <x:v>3</x:v>
      </x:c>
      <x:c r="B13" s="186" t="str">
        <x:v>若客户无法提供目标格口/实际格口真值，掉错格口只能输出轨迹异常候选。</x:v>
      </x:c>
      <x:c r="C13" s="186" t="str"/>
      <x:c r="D13" s="186" t="str"/>
      <x:c r="E13" s="186" t="str"/>
      <x:c r="F13" s="186" t="str"/>
    </x:row>
    <x:row r="14" ht="32" customHeight="1">
      <x:c r="A14" s="186" t="str">
        <x:v>4</x:v>
      </x:c>
      <x:c r="B14" s="186" t="str">
        <x:v>若采用非Ultralytics、许可证更宽松的检测框架，需重新验证精度和开发工作量。</x:v>
      </x:c>
      <x:c r="C14" s="186" t="str"/>
      <x:c r="D14" s="186" t="str"/>
      <x:c r="E14" s="186" t="str"/>
      <x:c r="F14" s="186" t="str"/>
    </x:row>
  </x:sheetData>
  <x:mergeCells>
    <x:mergeCell ref="A1:F1"/>
    <x:mergeCell ref="A10:F10"/>
    <x:mergeCell ref="B11:F11"/>
    <x:mergeCell ref="B12:F12"/>
    <x:mergeCell ref="B13:F13"/>
    <x:mergeCell ref="B14:F14"/>
  </x:mergeCells>
  <x:pageMargins left="0.7" right="0.7" top="0.75" bottom="0.75" header="0.3" footer="0.3"/>
</x:worksheet>
</file>